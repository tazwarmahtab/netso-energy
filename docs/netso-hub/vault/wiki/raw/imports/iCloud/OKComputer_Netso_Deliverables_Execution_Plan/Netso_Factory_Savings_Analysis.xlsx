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vings Analys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<sst xmlns="http://schemas.openxmlformats.org/spreadsheetml/2006/main" count="56" uniqueCount="54">
  <si>
    <t xml:space="preserve">NETSO FACTORY SAVINGS ANALYSIS</t>
  </si>
  <si>
    <t xml:space="preserve">20-Year Solar PPA vs Grid Electricity Cost Comparison</t>
  </si>
  <si>
    <t xml:space="preserve">FACTORY INFORMATION</t>
  </si>
  <si>
    <t xml:space="preserve">Factory Name:</t>
  </si>
  <si>
    <t xml:space="preserve">[Enter Factory Name]</t>
  </si>
  <si>
    <t xml:space="preserve">System Size (kWp):</t>
  </si>
  <si>
    <t xml:space="preserve">[Enter kWp]</t>
  </si>
  <si>
    <t xml:space="preserve">Location:</t>
  </si>
  <si>
    <t xml:space="preserve">[Gazipur/Narayanganj/Dhaka]</t>
  </si>
  <si>
    <t xml:space="preserve">Estimated Generation:</t>
  </si>
  <si>
    <t xml:space="preserve">DISCO:</t>
  </si>
  <si>
    <t xml:space="preserve">[DESCO/DPDC/BREB]</t>
  </si>
  <si>
    <t xml:space="preserve">kWh/kWp (Dhaka):</t>
  </si>
  <si>
    <t xml:space="preserve">Current Monthly Bill:</t>
  </si>
  <si>
    <t xml:space="preserve">[Enter BDT]</t>
  </si>
  <si>
    <t xml:space="preserve">Annual Generation (kWh):</t>
  </si>
  <si>
    <t xml:space="preserve">TARIFF ASSUMPTIONS</t>
  </si>
  <si>
    <t xml:space="preserve">Parameter</t>
  </si>
  <si>
    <t xml:space="preserve">Value</t>
  </si>
  <si>
    <t xml:space="preserve">Notes</t>
  </si>
  <si>
    <t xml:space="preserve">Current DESCO LT-E Rate (BDT/kWh)</t>
  </si>
  <si>
    <t xml:space="preserve">As of 2025</t>
  </si>
  <si>
    <t xml:space="preserve">Netso Solar Tariff Y1 (BDT/kWh)</t>
  </si>
  <si>
    <t xml:space="preserve">X% below grid rate</t>
  </si>
  <si>
    <t xml:space="preserve">Grid Tariff Escalation (%/year)</t>
  </si>
  <si>
    <t xml:space="preserve">Historical average</t>
  </si>
  <si>
    <t xml:space="preserve">Netso Tariff Escalation (%/year)</t>
  </si>
  <si>
    <t xml:space="preserve">Fixed in PPA</t>
  </si>
  <si>
    <t xml:space="preserve">NEM Surplus Rate (BDT/kWh)</t>
  </si>
  <si>
    <t xml:space="preserve">DESCO settlement rate</t>
  </si>
  <si>
    <t xml:space="preserve">20-YEAR SAVINGS PROJECTION</t>
  </si>
  <si>
    <t xml:space="preserve">Year</t>
  </si>
  <si>
    <t xml:space="preserve">Grid Rate
(BDT/kWh)</t>
  </si>
  <si>
    <t xml:space="preserve">Netso Rate
(BDT/kWh)</t>
  </si>
  <si>
    <t xml:space="preserve">Generation
(kWh)</t>
  </si>
  <si>
    <t xml:space="preserve">Grid Cost
(BDT)</t>
  </si>
  <si>
    <t xml:space="preserve">Netso Cost
(BDT)</t>
  </si>
  <si>
    <t xml:space="preserve">Annual Savings
(BDT)</t>
  </si>
  <si>
    <t xml:space="preserve">SUMMARY</t>
  </si>
  <si>
    <t xml:space="preserve">Total 20-Year Grid Cost:</t>
  </si>
  <si>
    <t xml:space="preserve">BDT</t>
  </si>
  <si>
    <t xml:space="preserve">Total 20-Year Netso Cost:</t>
  </si>
  <si>
    <t xml:space="preserve">Total 20-Year Savings:</t>
  </si>
  <si>
    <t xml:space="preserve">Average Annual Savings:</t>
  </si>
  <si>
    <t xml:space="preserve">BDT/year</t>
  </si>
  <si>
    <t xml:space="preserve">Savings Percentage:</t>
  </si>
  <si>
    <t xml:space="preserve">%</t>
  </si>
  <si>
    <t xml:space="preserve">KEY BENEFITS FOR FACTORY</t>
  </si>
  <si>
    <t xml:space="preserve">✓  Zero Upfront Investment - No CAPEX required</t>
  </si>
  <si>
    <t xml:space="preserve">✓  Immediate Savings from Month 1</t>
  </si>
  <si>
    <t xml:space="preserve">✓  Locked Tariff - Hedge against grid price increases</t>
  </si>
  <si>
    <t xml:space="preserve">✓  25-Year Panel Warranty + 10-Year Inverter Warranty</t>
  </si>
  <si>
    <t xml:space="preserve">✓  Full O&amp;M included - No maintenance hassle</t>
  </si>
  <si>
    <t xml:space="preserve">✓  ESG Compliance - Support export buyer requirements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</si>
</sst>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A5C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2"/>
      <color rgb="FF1A3A5C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F3FF"/>
        <bgColor rgb="FFE8F5E9"/>
      </patternFill>
    </fill>
    <fill>
      <patternFill patternType="solid">
        <fgColor rgb="FF1A3A5C"/>
        <bgColor rgb="FF333333"/>
      </patternFill>
    </fill>
    <fill>
      <patternFill patternType="solid">
        <fgColor rgb="FFE8F5E9"/>
        <bgColor rgb="FFE6F3FF"/>
      </patternFill>
    </fill>
    <fill>
      <patternFill patternType="solid">
        <fgColor rgb="FFC49A3C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8F5E9"/>
      <rgbColor rgb="FFE6F3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C49A3C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20-Year Cost Comparison: Grid vs Netso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'Savings Analysis'!F20</c:f>
              <c:strCache>
                <c:ptCount val="1"/>
                <c:pt idx="0">
                  <c:v>Grid Cost
(BDT)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'Savings Analysis'!$B$21:$B$40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'Savings Analysis'!$F$21:$F$40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'Savings Analysis'!G20</c:f>
              <c:strCache>
                <c:ptCount val="1"/>
                <c:pt idx="0">
                  <c:v>Netso Cost
(BDT)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'Savings Analysis'!$B$21:$B$40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'Savings Analysis'!$G$21:$G$40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10432"/>
        <c:axId val="30782006"/>
      </c:lineChart>
      <c:catAx>
        <c:axId val="56104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82006"/>
        <c:crosses val="autoZero"/>
        <c:auto val="1"/>
        <c:lblAlgn val="ctr"/>
        <c:lblOffset val="100"/>
        <c:noMultiLvlLbl val="0"/>
      </c:catAx>
      <c:valAx>
        <c:axId val="30782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Cost (BDT)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0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20</xdr:col>
      <xdr:colOff>152640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9844920" y="10098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10" min="10" style="1" width="3"/>
  </cols>
  <sheetData>
    <row r="2" customFormat="false" ht="34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</row>
    <row r="6" customFormat="false" ht="15" hidden="false" customHeight="true" outlineLevel="0" collapsed="false">
      <c r="B6" s="5" t="s">
        <v>3</v>
      </c>
      <c r="C6" s="6" t="s">
        <v>4</v>
      </c>
      <c r="E6" s="5" t="s">
        <v>5</v>
      </c>
      <c r="F6" s="6" t="s">
        <v>6</v>
      </c>
    </row>
    <row r="7" customFormat="false" ht="15" hidden="false" customHeight="true" outlineLevel="0" collapsed="false">
      <c r="B7" s="5" t="s">
        <v>7</v>
      </c>
      <c r="C7" s="6" t="s">
        <v>8</v>
      </c>
      <c r="E7" s="5" t="s">
        <v>9</v>
      </c>
      <c r="F7" s="7" t="n">
        <f aca="false">D8*1450</f>
        <v>0</v>
      </c>
    </row>
    <row r="8" customFormat="false" ht="15" hidden="false" customHeight="true" outlineLevel="0" collapsed="false">
      <c r="B8" s="5" t="s">
        <v>10</v>
      </c>
      <c r="C8" s="6" t="s">
        <v>11</v>
      </c>
      <c r="E8" s="5" t="s">
        <v>12</v>
      </c>
      <c r="F8" s="6" t="n">
        <v>1450</v>
      </c>
    </row>
    <row r="9" customFormat="false" ht="15" hidden="false" customHeight="true" outlineLevel="0" collapsed="false">
      <c r="B9" s="5" t="s">
        <v>13</v>
      </c>
      <c r="C9" s="6" t="s">
        <v>14</v>
      </c>
      <c r="E9" s="5" t="s">
        <v>15</v>
      </c>
      <c r="F9" s="7" t="n">
        <f aca="false">D8*D9</f>
        <v>0</v>
      </c>
    </row>
    <row r="11" customFormat="false" ht="15" hidden="false" customHeight="true" outlineLevel="0" collapsed="false">
      <c r="B11" s="4" t="s">
        <v>16</v>
      </c>
      <c r="C11" s="4"/>
      <c r="D11" s="4"/>
    </row>
    <row r="12" customFormat="false" ht="15" hidden="false" customHeight="true" outlineLevel="0" collapsed="false">
      <c r="B12" s="8" t="s">
        <v>17</v>
      </c>
      <c r="C12" s="8" t="s">
        <v>18</v>
      </c>
      <c r="D12" s="8" t="s">
        <v>19</v>
      </c>
    </row>
    <row r="13" customFormat="false" ht="15" hidden="false" customHeight="true" outlineLevel="0" collapsed="false">
      <c r="B13" s="9" t="s">
        <v>20</v>
      </c>
      <c r="C13" s="10" t="n">
        <v>12.5</v>
      </c>
      <c r="D13" s="9" t="s">
        <v>21</v>
      </c>
    </row>
    <row r="14" customFormat="false" ht="15" hidden="false" customHeight="true" outlineLevel="0" collapsed="false">
      <c r="B14" s="9" t="s">
        <v>22</v>
      </c>
      <c r="C14" s="10" t="n">
        <v>11.5</v>
      </c>
      <c r="D14" s="9" t="s">
        <v>23</v>
      </c>
    </row>
    <row r="15" customFormat="false" ht="15" hidden="false" customHeight="true" outlineLevel="0" collapsed="false">
      <c r="B15" s="9" t="s">
        <v>24</v>
      </c>
      <c r="C15" s="10" t="n">
        <v>0.05</v>
      </c>
      <c r="D15" s="9" t="s">
        <v>25</v>
      </c>
    </row>
    <row r="16" customFormat="false" ht="15" hidden="false" customHeight="true" outlineLevel="0" collapsed="false">
      <c r="B16" s="9" t="s">
        <v>26</v>
      </c>
      <c r="C16" s="10" t="n">
        <v>0.02</v>
      </c>
      <c r="D16" s="9" t="s">
        <v>27</v>
      </c>
    </row>
    <row r="17" customFormat="false" ht="15" hidden="false" customHeight="true" outlineLevel="0" collapsed="false">
      <c r="B17" s="9" t="s">
        <v>28</v>
      </c>
      <c r="C17" s="10" t="n">
        <v>6.45</v>
      </c>
      <c r="D17" s="9" t="s">
        <v>29</v>
      </c>
    </row>
    <row r="19" customFormat="false" ht="15" hidden="false" customHeight="true" outlineLevel="0" collapsed="false">
      <c r="B19" s="4" t="s">
        <v>30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11" t="s">
        <v>31</v>
      </c>
      <c r="C20" s="11" t="s">
        <v>32</v>
      </c>
      <c r="D20" s="11" t="s">
        <v>33</v>
      </c>
      <c r="E20" s="11" t="s">
        <v>34</v>
      </c>
      <c r="F20" s="11" t="s">
        <v>35</v>
      </c>
      <c r="G20" s="11" t="s">
        <v>36</v>
      </c>
      <c r="H20" s="11" t="s">
        <v>37</v>
      </c>
    </row>
    <row r="21" customFormat="false" ht="15" hidden="false" customHeight="true" outlineLevel="0" collapsed="false">
      <c r="B21" s="12" t="n">
        <v>1</v>
      </c>
      <c r="C21" s="13" t="n">
        <f aca="false">$C$13*POWER(1+$C$15,B21-20)</f>
        <v>4.94667446270813</v>
      </c>
      <c r="D21" s="13" t="n">
        <f aca="false">$C$14*POWER(1+$C$16,B21-20)</f>
        <v>7.89395373735751</v>
      </c>
      <c r="E21" s="14" t="n">
        <f aca="false">$F$9*POWER(0.995,B21-20)</f>
        <v>0</v>
      </c>
      <c r="F21" s="14" t="n">
        <f aca="false">E21*C21</f>
        <v>0</v>
      </c>
      <c r="G21" s="14" t="n">
        <f aca="false">E21*D21</f>
        <v>0</v>
      </c>
      <c r="H21" s="14" t="n">
        <f aca="false">F21-G21</f>
        <v>0</v>
      </c>
    </row>
    <row r="22" customFormat="false" ht="15" hidden="false" customHeight="true" outlineLevel="0" collapsed="false">
      <c r="B22" s="12" t="n">
        <v>2</v>
      </c>
      <c r="C22" s="13" t="n">
        <f aca="false">$C$13*POWER(1+$C$15,B22-20)</f>
        <v>5.19400818584354</v>
      </c>
      <c r="D22" s="13" t="n">
        <f aca="false">$C$14*POWER(1+$C$16,B22-20)</f>
        <v>8.05183281210466</v>
      </c>
      <c r="E22" s="14" t="n">
        <f aca="false">$F$9*POWER(0.995,B22-20)</f>
        <v>0</v>
      </c>
      <c r="F22" s="14" t="n">
        <f aca="false">E22*C22</f>
        <v>0</v>
      </c>
      <c r="G22" s="14" t="n">
        <f aca="false">E22*D22</f>
        <v>0</v>
      </c>
      <c r="H22" s="15" t="n">
        <f aca="false">F22-G22</f>
        <v>0</v>
      </c>
    </row>
    <row r="23" customFormat="false" ht="15" hidden="false" customHeight="true" outlineLevel="0" collapsed="false">
      <c r="B23" s="12" t="n">
        <v>3</v>
      </c>
      <c r="C23" s="13" t="n">
        <f aca="false">$C$13*POWER(1+$C$15,B23-20)</f>
        <v>5.45370859513571</v>
      </c>
      <c r="D23" s="13" t="n">
        <f aca="false">$C$14*POWER(1+$C$16,B23-20)</f>
        <v>8.21286946834676</v>
      </c>
      <c r="E23" s="14" t="n">
        <f aca="false">$F$9*POWER(0.995,B23-20)</f>
        <v>0</v>
      </c>
      <c r="F23" s="14" t="n">
        <f aca="false">E23*C23</f>
        <v>0</v>
      </c>
      <c r="G23" s="14" t="n">
        <f aca="false">E23*D23</f>
        <v>0</v>
      </c>
      <c r="H23" s="14" t="n">
        <f aca="false">F23-G23</f>
        <v>0</v>
      </c>
    </row>
    <row r="24" customFormat="false" ht="15" hidden="false" customHeight="true" outlineLevel="0" collapsed="false">
      <c r="B24" s="12" t="n">
        <v>4</v>
      </c>
      <c r="C24" s="13" t="n">
        <f aca="false">$C$13*POWER(1+$C$15,B24-20)</f>
        <v>5.7263940248925</v>
      </c>
      <c r="D24" s="13" t="n">
        <f aca="false">$C$14*POWER(1+$C$16,B24-20)</f>
        <v>8.37712685771369</v>
      </c>
      <c r="E24" s="14" t="n">
        <f aca="false">$F$9*POWER(0.995,B24-20)</f>
        <v>0</v>
      </c>
      <c r="F24" s="14" t="n">
        <f aca="false">E24*C24</f>
        <v>0</v>
      </c>
      <c r="G24" s="14" t="n">
        <f aca="false">E24*D24</f>
        <v>0</v>
      </c>
      <c r="H24" s="15" t="n">
        <f aca="false">F24-G24</f>
        <v>0</v>
      </c>
    </row>
    <row r="25" customFormat="false" ht="15" hidden="false" customHeight="true" outlineLevel="0" collapsed="false">
      <c r="B25" s="12" t="n">
        <v>5</v>
      </c>
      <c r="C25" s="13" t="n">
        <f aca="false">$C$13*POWER(1+$C$15,B25-20)</f>
        <v>6.01271372613713</v>
      </c>
      <c r="D25" s="13" t="n">
        <f aca="false">$C$14*POWER(1+$C$16,B25-20)</f>
        <v>8.54466939486797</v>
      </c>
      <c r="E25" s="14" t="n">
        <f aca="false">$F$9*POWER(0.995,B25-20)</f>
        <v>0</v>
      </c>
      <c r="F25" s="14" t="n">
        <f aca="false">E25*C25</f>
        <v>0</v>
      </c>
      <c r="G25" s="14" t="n">
        <f aca="false">E25*D25</f>
        <v>0</v>
      </c>
      <c r="H25" s="14" t="n">
        <f aca="false">F25-G25</f>
        <v>0</v>
      </c>
    </row>
    <row r="26" customFormat="false" ht="15" hidden="false" customHeight="true" outlineLevel="0" collapsed="false">
      <c r="B26" s="12" t="n">
        <v>6</v>
      </c>
      <c r="C26" s="13" t="n">
        <f aca="false">$C$13*POWER(1+$C$15,B26-20)</f>
        <v>6.31334941244398</v>
      </c>
      <c r="D26" s="13" t="n">
        <f aca="false">$C$14*POWER(1+$C$16,B26-20)</f>
        <v>8.71556278276533</v>
      </c>
      <c r="E26" s="14" t="n">
        <f aca="false">$F$9*POWER(0.995,B26-20)</f>
        <v>0</v>
      </c>
      <c r="F26" s="14" t="n">
        <f aca="false">E26*C26</f>
        <v>0</v>
      </c>
      <c r="G26" s="14" t="n">
        <f aca="false">E26*D26</f>
        <v>0</v>
      </c>
      <c r="H26" s="15" t="n">
        <f aca="false">F26-G26</f>
        <v>0</v>
      </c>
    </row>
    <row r="27" customFormat="false" ht="15" hidden="false" customHeight="true" outlineLevel="0" collapsed="false">
      <c r="B27" s="12" t="n">
        <v>7</v>
      </c>
      <c r="C27" s="13" t="n">
        <f aca="false">$C$13*POWER(1+$C$15,B27-20)</f>
        <v>6.62901688306618</v>
      </c>
      <c r="D27" s="13" t="n">
        <f aca="false">$C$14*POWER(1+$C$16,B27-20)</f>
        <v>8.88987403842063</v>
      </c>
      <c r="E27" s="14" t="n">
        <f aca="false">$F$9*POWER(0.995,B27-20)</f>
        <v>0</v>
      </c>
      <c r="F27" s="14" t="n">
        <f aca="false">E27*C27</f>
        <v>0</v>
      </c>
      <c r="G27" s="14" t="n">
        <f aca="false">E27*D27</f>
        <v>0</v>
      </c>
      <c r="H27" s="14" t="n">
        <f aca="false">F27-G27</f>
        <v>0</v>
      </c>
    </row>
    <row r="28" customFormat="false" ht="15" hidden="false" customHeight="true" outlineLevel="0" collapsed="false">
      <c r="B28" s="12" t="n">
        <v>8</v>
      </c>
      <c r="C28" s="13" t="n">
        <f aca="false">$C$13*POWER(1+$C$15,B28-20)</f>
        <v>6.96046772721949</v>
      </c>
      <c r="D28" s="13" t="n">
        <f aca="false">$C$14*POWER(1+$C$16,B28-20)</f>
        <v>9.06767151918905</v>
      </c>
      <c r="E28" s="14" t="n">
        <f aca="false">$F$9*POWER(0.995,B28-20)</f>
        <v>0</v>
      </c>
      <c r="F28" s="14" t="n">
        <f aca="false">E28*C28</f>
        <v>0</v>
      </c>
      <c r="G28" s="14" t="n">
        <f aca="false">E28*D28</f>
        <v>0</v>
      </c>
      <c r="H28" s="15" t="n">
        <f aca="false">F28-G28</f>
        <v>0</v>
      </c>
    </row>
    <row r="29" customFormat="false" ht="15" hidden="false" customHeight="true" outlineLevel="0" collapsed="false">
      <c r="B29" s="12" t="n">
        <v>9</v>
      </c>
      <c r="C29" s="13" t="n">
        <f aca="false">$C$13*POWER(1+$C$15,B29-20)</f>
        <v>7.30849111358047</v>
      </c>
      <c r="D29" s="13" t="n">
        <f aca="false">$C$14*POWER(1+$C$16,B29-20)</f>
        <v>9.24902494957283</v>
      </c>
      <c r="E29" s="14" t="n">
        <f aca="false">$F$9*POWER(0.995,B29-20)</f>
        <v>0</v>
      </c>
      <c r="F29" s="14" t="n">
        <f aca="false">E29*C29</f>
        <v>0</v>
      </c>
      <c r="G29" s="14" t="n">
        <f aca="false">E29*D29</f>
        <v>0</v>
      </c>
      <c r="H29" s="14" t="n">
        <f aca="false">F29-G29</f>
        <v>0</v>
      </c>
    </row>
    <row r="30" customFormat="false" ht="15" hidden="false" customHeight="true" outlineLevel="0" collapsed="false">
      <c r="B30" s="12" t="n">
        <v>10</v>
      </c>
      <c r="C30" s="13" t="n">
        <f aca="false">$C$13*POWER(1+$C$15,B30-20)</f>
        <v>7.67391566925949</v>
      </c>
      <c r="D30" s="13" t="n">
        <f aca="false">$C$14*POWER(1+$C$16,B30-20)</f>
        <v>9.43400544856428</v>
      </c>
      <c r="E30" s="14" t="n">
        <f aca="false">$F$9*POWER(0.995,B30-20)</f>
        <v>0</v>
      </c>
      <c r="F30" s="14" t="n">
        <f aca="false">E30*C30</f>
        <v>0</v>
      </c>
      <c r="G30" s="14" t="n">
        <f aca="false">E30*D30</f>
        <v>0</v>
      </c>
      <c r="H30" s="15" t="n">
        <f aca="false">F30-G30</f>
        <v>0</v>
      </c>
    </row>
    <row r="31" customFormat="false" ht="15" hidden="false" customHeight="true" outlineLevel="0" collapsed="false">
      <c r="B31" s="12" t="n">
        <v>11</v>
      </c>
      <c r="C31" s="13" t="n">
        <f aca="false">$C$13*POWER(1+$C$15,B31-20)</f>
        <v>8.05761145272246</v>
      </c>
      <c r="D31" s="13" t="n">
        <f aca="false">$C$14*POWER(1+$C$16,B31-20)</f>
        <v>9.62268555753557</v>
      </c>
      <c r="E31" s="14" t="n">
        <f aca="false">$F$9*POWER(0.995,B31-20)</f>
        <v>0</v>
      </c>
      <c r="F31" s="14" t="n">
        <f aca="false">E31*C31</f>
        <v>0</v>
      </c>
      <c r="G31" s="14" t="n">
        <f aca="false">E31*D31</f>
        <v>0</v>
      </c>
      <c r="H31" s="14" t="n">
        <f aca="false">F31-G31</f>
        <v>0</v>
      </c>
    </row>
    <row r="32" customFormat="false" ht="15" hidden="false" customHeight="true" outlineLevel="0" collapsed="false">
      <c r="B32" s="12" t="n">
        <v>12</v>
      </c>
      <c r="C32" s="13" t="n">
        <f aca="false">$C$13*POWER(1+$C$15,B32-20)</f>
        <v>8.46049202535859</v>
      </c>
      <c r="D32" s="13" t="n">
        <f aca="false">$C$14*POWER(1+$C$16,B32-20)</f>
        <v>9.81513926868628</v>
      </c>
      <c r="E32" s="14" t="n">
        <f aca="false">$F$9*POWER(0.995,B32-20)</f>
        <v>0</v>
      </c>
      <c r="F32" s="14" t="n">
        <f aca="false">E32*C32</f>
        <v>0</v>
      </c>
      <c r="G32" s="14" t="n">
        <f aca="false">E32*D32</f>
        <v>0</v>
      </c>
      <c r="H32" s="15" t="n">
        <f aca="false">F32-G32</f>
        <v>0</v>
      </c>
    </row>
    <row r="33" customFormat="false" ht="15" hidden="false" customHeight="true" outlineLevel="0" collapsed="false">
      <c r="B33" s="12" t="n">
        <v>13</v>
      </c>
      <c r="C33" s="13" t="n">
        <f aca="false">$C$13*POWER(1+$C$15,B33-20)</f>
        <v>8.88351662662652</v>
      </c>
      <c r="D33" s="13" t="n">
        <f aca="false">$C$14*POWER(1+$C$16,B33-20)</f>
        <v>10.01144205406</v>
      </c>
      <c r="E33" s="14" t="n">
        <f aca="false">$F$9*POWER(0.995,B33-20)</f>
        <v>0</v>
      </c>
      <c r="F33" s="14" t="n">
        <f aca="false">E33*C33</f>
        <v>0</v>
      </c>
      <c r="G33" s="14" t="n">
        <f aca="false">E33*D33</f>
        <v>0</v>
      </c>
      <c r="H33" s="14" t="n">
        <f aca="false">F33-G33</f>
        <v>0</v>
      </c>
    </row>
    <row r="34" customFormat="false" ht="15" hidden="false" customHeight="true" outlineLevel="0" collapsed="false">
      <c r="B34" s="12" t="n">
        <v>14</v>
      </c>
      <c r="C34" s="13" t="n">
        <f aca="false">$C$13*POWER(1+$C$15,B34-20)</f>
        <v>9.32769245795784</v>
      </c>
      <c r="D34" s="13" t="n">
        <f aca="false">$C$14*POWER(1+$C$16,B34-20)</f>
        <v>10.2116708951412</v>
      </c>
      <c r="E34" s="14" t="n">
        <f aca="false">$F$9*POWER(0.995,B34-20)</f>
        <v>0</v>
      </c>
      <c r="F34" s="14" t="n">
        <f aca="false">E34*C34</f>
        <v>0</v>
      </c>
      <c r="G34" s="14" t="n">
        <f aca="false">E34*D34</f>
        <v>0</v>
      </c>
      <c r="H34" s="15" t="n">
        <f aca="false">F34-G34</f>
        <v>0</v>
      </c>
    </row>
    <row r="35" customFormat="false" ht="15" hidden="false" customHeight="true" outlineLevel="0" collapsed="false">
      <c r="B35" s="12" t="n">
        <v>15</v>
      </c>
      <c r="C35" s="13" t="n">
        <f aca="false">$C$13*POWER(1+$C$15,B35-20)</f>
        <v>9.79407708085574</v>
      </c>
      <c r="D35" s="13" t="n">
        <f aca="false">$C$14*POWER(1+$C$16,B35-20)</f>
        <v>10.415904313044</v>
      </c>
      <c r="E35" s="14" t="n">
        <f aca="false">$F$9*POWER(0.995,B35-20)</f>
        <v>0</v>
      </c>
      <c r="F35" s="14" t="n">
        <f aca="false">E35*C35</f>
        <v>0</v>
      </c>
      <c r="G35" s="14" t="n">
        <f aca="false">E35*D35</f>
        <v>0</v>
      </c>
      <c r="H35" s="14" t="n">
        <f aca="false">F35-G35</f>
        <v>0</v>
      </c>
    </row>
    <row r="36" customFormat="false" ht="15" hidden="false" customHeight="true" outlineLevel="0" collapsed="false">
      <c r="B36" s="12" t="n">
        <v>16</v>
      </c>
      <c r="C36" s="13" t="n">
        <f aca="false">$C$13*POWER(1+$C$15,B36-20)</f>
        <v>10.2837809348985</v>
      </c>
      <c r="D36" s="13" t="n">
        <f aca="false">$C$14*POWER(1+$C$16,B36-20)</f>
        <v>10.6242223993049</v>
      </c>
      <c r="E36" s="14" t="n">
        <f aca="false">$F$9*POWER(0.995,B36-20)</f>
        <v>0</v>
      </c>
      <c r="F36" s="14" t="n">
        <f aca="false">E36*C36</f>
        <v>0</v>
      </c>
      <c r="G36" s="14" t="n">
        <f aca="false">E36*D36</f>
        <v>0</v>
      </c>
      <c r="H36" s="15" t="n">
        <f aca="false">F36-G36</f>
        <v>0</v>
      </c>
    </row>
    <row r="37" customFormat="false" ht="15" hidden="false" customHeight="true" outlineLevel="0" collapsed="false">
      <c r="B37" s="12" t="n">
        <v>17</v>
      </c>
      <c r="C37" s="13" t="n">
        <f aca="false">$C$13*POWER(1+$C$15,B37-20)</f>
        <v>10.7979699816435</v>
      </c>
      <c r="D37" s="13" t="n">
        <f aca="false">$C$14*POWER(1+$C$16,B37-20)</f>
        <v>10.836706847291</v>
      </c>
      <c r="E37" s="14" t="n">
        <f aca="false">$F$9*POWER(0.995,B37-20)</f>
        <v>0</v>
      </c>
      <c r="F37" s="14" t="n">
        <f aca="false">E37*C37</f>
        <v>0</v>
      </c>
      <c r="G37" s="14" t="n">
        <f aca="false">E37*D37</f>
        <v>0</v>
      </c>
      <c r="H37" s="14" t="n">
        <f aca="false">F37-G37</f>
        <v>0</v>
      </c>
    </row>
    <row r="38" customFormat="false" ht="15" hidden="false" customHeight="true" outlineLevel="0" collapsed="false">
      <c r="B38" s="12" t="n">
        <v>18</v>
      </c>
      <c r="C38" s="13" t="n">
        <f aca="false">$C$13*POWER(1+$C$15,B38-20)</f>
        <v>11.3378684807256</v>
      </c>
      <c r="D38" s="13" t="n">
        <f aca="false">$C$14*POWER(1+$C$16,B38-20)</f>
        <v>11.0534409842368</v>
      </c>
      <c r="E38" s="14" t="n">
        <f aca="false">$F$9*POWER(0.995,B38-20)</f>
        <v>0</v>
      </c>
      <c r="F38" s="14" t="n">
        <f aca="false">E38*C38</f>
        <v>0</v>
      </c>
      <c r="G38" s="14" t="n">
        <f aca="false">E38*D38</f>
        <v>0</v>
      </c>
      <c r="H38" s="15" t="n">
        <f aca="false">F38-G38</f>
        <v>0</v>
      </c>
    </row>
    <row r="39" customFormat="false" ht="15" hidden="false" customHeight="true" outlineLevel="0" collapsed="false">
      <c r="B39" s="12" t="n">
        <v>19</v>
      </c>
      <c r="C39" s="13" t="n">
        <f aca="false">$C$13*POWER(1+$C$15,B39-20)</f>
        <v>11.9047619047619</v>
      </c>
      <c r="D39" s="13" t="n">
        <f aca="false">$C$14*POWER(1+$C$16,B39-20)</f>
        <v>11.2745098039216</v>
      </c>
      <c r="E39" s="14" t="n">
        <f aca="false">$F$9*POWER(0.995,B39-20)</f>
        <v>0</v>
      </c>
      <c r="F39" s="14" t="n">
        <f aca="false">E39*C39</f>
        <v>0</v>
      </c>
      <c r="G39" s="14" t="n">
        <f aca="false">E39*D39</f>
        <v>0</v>
      </c>
      <c r="H39" s="14" t="n">
        <f aca="false">F39-G39</f>
        <v>0</v>
      </c>
    </row>
    <row r="40" customFormat="false" ht="15" hidden="false" customHeight="true" outlineLevel="0" collapsed="false">
      <c r="B40" s="12" t="n">
        <v>20</v>
      </c>
      <c r="C40" s="13" t="n">
        <f aca="false">$C$13*POWER(1+$C$15,B40-20)</f>
        <v>12.5</v>
      </c>
      <c r="D40" s="13" t="n">
        <f aca="false">$C$14*POWER(1+$C$16,B40-20)</f>
        <v>11.5</v>
      </c>
      <c r="E40" s="14" t="n">
        <f aca="false">$F$9*POWER(0.995,B40-20)</f>
        <v>0</v>
      </c>
      <c r="F40" s="14" t="n">
        <f aca="false">E40*C40</f>
        <v>0</v>
      </c>
      <c r="G40" s="14" t="n">
        <f aca="false">E40*D40</f>
        <v>0</v>
      </c>
      <c r="H40" s="15" t="n">
        <f aca="false">F40-G40</f>
        <v>0</v>
      </c>
    </row>
    <row r="42" customFormat="false" ht="15" hidden="false" customHeight="true" outlineLevel="0" collapsed="false">
      <c r="B42" s="4" t="s">
        <v>38</v>
      </c>
      <c r="C42" s="4"/>
      <c r="D42" s="4"/>
    </row>
    <row r="43" customFormat="false" ht="15" hidden="false" customHeight="true" outlineLevel="0" collapsed="false">
      <c r="B43" s="16" t="s">
        <v>39</v>
      </c>
      <c r="C43" s="17" t="n">
        <f aca="false">SUM(F21:F40)</f>
        <v>0</v>
      </c>
      <c r="D43" s="9" t="s">
        <v>40</v>
      </c>
    </row>
    <row r="44" customFormat="false" ht="15" hidden="false" customHeight="true" outlineLevel="0" collapsed="false">
      <c r="B44" s="16" t="s">
        <v>41</v>
      </c>
      <c r="C44" s="17" t="n">
        <f aca="false">SUM(G21:G40)</f>
        <v>0</v>
      </c>
      <c r="D44" s="9" t="s">
        <v>40</v>
      </c>
    </row>
    <row r="45" customFormat="false" ht="15" hidden="false" customHeight="true" outlineLevel="0" collapsed="false">
      <c r="B45" s="16" t="s">
        <v>42</v>
      </c>
      <c r="C45" s="17" t="n">
        <f aca="false">SUM(H21:H40)</f>
        <v>0</v>
      </c>
      <c r="D45" s="9" t="s">
        <v>40</v>
      </c>
    </row>
    <row r="46" customFormat="false" ht="15" hidden="false" customHeight="true" outlineLevel="0" collapsed="false">
      <c r="B46" s="16" t="s">
        <v>43</v>
      </c>
      <c r="C46" s="17" t="n">
        <f aca="false">H43/20</f>
        <v>0</v>
      </c>
      <c r="D46" s="9" t="s">
        <v>44</v>
      </c>
    </row>
    <row r="47" customFormat="false" ht="15" hidden="false" customHeight="true" outlineLevel="0" collapsed="false">
      <c r="B47" s="16" t="s">
        <v>45</v>
      </c>
      <c r="C47" s="18" t="n">
        <f aca="false">IF(F43=0,0,H43/F43)</f>
        <v>0</v>
      </c>
      <c r="D47" s="9" t="s">
        <v>46</v>
      </c>
    </row>
    <row r="50" customFormat="false" ht="15" hidden="false" customHeight="true" outlineLevel="0" collapsed="false">
      <c r="B50" s="19" t="s">
        <v>47</v>
      </c>
    </row>
    <row r="51" customFormat="false" ht="15" hidden="false" customHeight="true" outlineLevel="0" collapsed="false">
      <c r="B51" s="20" t="s">
        <v>48</v>
      </c>
    </row>
    <row r="52" customFormat="false" ht="15" hidden="false" customHeight="true" outlineLevel="0" collapsed="false">
      <c r="B52" s="20" t="s">
        <v>49</v>
      </c>
    </row>
    <row r="53" customFormat="false" ht="15" hidden="false" customHeight="true" outlineLevel="0" collapsed="false">
      <c r="B53" s="20" t="s">
        <v>50</v>
      </c>
    </row>
    <row r="54" customFormat="false" ht="15" hidden="false" customHeight="true" outlineLevel="0" collapsed="false">
      <c r="B54" s="20" t="s">
        <v>51</v>
      </c>
    </row>
    <row r="55" customFormat="false" ht="15" hidden="false" customHeight="true" outlineLevel="0" collapsed="false">
      <c r="B55" s="20" t="s">
        <v>52</v>
      </c>
    </row>
    <row r="56" customFormat="false" ht="15" hidden="false" customHeight="true" outlineLevel="0" collapsed="false">
      <c r="B56" s="20" t="s">
        <v>53</v>
      </c>
    </row>
  </sheetData>
  <mergeCells count="6">
    <mergeCell ref="B2:H2"/>
    <mergeCell ref="B3:H3"/>
    <mergeCell ref="B5:D5"/>
    <mergeCell ref="B11:D11"/>
    <mergeCell ref="B19:H19"/>
    <mergeCell ref="B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2026-04-07T04:04:08Z</dcterms:created>
  <dc:creator>openpyxl</dc:creator>
  <dc:description/>
  <dc:language>en-US</dc:language>
  <cp:lastModifiedBy/>
  <dcterms:modified xsi:type="dcterms:W3CDTF">2026-04-07T12:04:36Z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